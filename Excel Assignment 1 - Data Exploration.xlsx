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3703c093884e9e4/Attachments/Desktop/Data Analytics/Assignments/"/>
    </mc:Choice>
  </mc:AlternateContent>
  <xr:revisionPtr revIDLastSave="0" documentId="13_ncr:1_{590A1191-DF4E-4676-95D8-68634FB300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definedNames>
    <definedName name="_xlnm._FilterDatabase" localSheetId="1" hidden="1">Dataset!$A$1:$F$35</definedName>
    <definedName name="_xlnm.Print_Area" localSheetId="2">Solutions!$A$1:$J$45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3" l="1"/>
  <c r="I2" i="3"/>
  <c r="H2" i="3"/>
  <c r="F44" i="3"/>
  <c r="F45" i="3"/>
  <c r="E2" i="3"/>
  <c r="F43" i="3"/>
  <c r="F42" i="3"/>
  <c r="F41" i="3"/>
  <c r="F40" i="3"/>
  <c r="F3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<sst xmlns="http://schemas.openxmlformats.org/spreadsheetml/2006/main" count="312" uniqueCount="121">
  <si>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</si>
  <si>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</si>
  <si>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</si>
  <si>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</si>
  <si>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</si>
  <si>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</si>
  <si>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</si>
  <si>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</si>
  <si>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</si>
  <si>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</si>
  <si>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</si>
  <si>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</si>
  <si>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</si>
  <si>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</si>
  <si>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</si>
  <si>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</si>
  <si>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</si>
  <si>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</si>
  <si>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</si>
  <si>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</si>
  <si>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</si>
  <si>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</si>
  <si>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</si>
  <si>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</si>
  <si>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</si>
  <si>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</si>
  <si>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</si>
  <si>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</si>
  <si>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</si>
  <si>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</si>
  <si>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</si>
  <si>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</si>
  <si>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</si>
  <si>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</si>
  <si>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</si>
  <si>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</si>
  <si>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</si>
  <si>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</si>
  <si>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</si>
  <si>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</si>
  <si>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</si>
  <si>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</si>
  <si>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</si>
  <si>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</si>
  <si>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</si>
  <si>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</si>
  <si>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</si>
  <si>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</si>
  <si>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</si>
  <si>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</si>
  <si>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</si>
  <si>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</si>
  <si>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</si>
  <si>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</si>
  <si>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</si>
  <si>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</si>
  <si>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</si>
  <si>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</si>
  <si>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</si>
  <si>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</si>
  <si>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</si>
  <si>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</si>
  <si>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</si>
  <si>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</si>
  <si>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</si>
  <si>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</si>
  <si>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</si>
  <si>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</si>
  <si>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</si>
  <si>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</si>
  <si>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</si>
  <si>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</si>
  <si>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</si>
  <si>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</si>
  <si>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</si>
  <si>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</si>
  <si>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</si>
  <si>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</si>
  <si>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</si>
  <si>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</si>
  <si>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</si>
  <si>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</si>
  <si>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</si>
  <si>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</si>
  <si>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</si>
  <si>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</si>
  <si>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</si>
  <si>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</si>
  <si>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</si>
  <si>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</si>
  <si>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</si>
  <si>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</si>
  <si>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</si>
  <si>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</si>
  <si>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</si>
  <si>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</si>
  <si>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</si>
  <si>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</si>
  <si>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</si>
  <si>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</si>
  <si>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</si>
  <si>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</si>
  <si>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</si>
  <si>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</si>
  <si>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</si>
  <si>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</si>
  <si>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</si>
  <si>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</si>
  <si>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</si>
  <si>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</si>
  <si>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Price</t>
  </si>
  <si>
    <t>Minimum Price</t>
  </si>
  <si>
    <t>Maximum Price</t>
  </si>
  <si>
    <t>Price Range</t>
  </si>
  <si>
    <t>The count of products with a price less than $100 using the COUNTIF function.</t>
  </si>
  <si>
    <t>The total price for products in the 'Electronics' category using the SUMIF function.</t>
  </si>
  <si>
    <t>Day</t>
  </si>
  <si>
    <t>Country Code</t>
  </si>
  <si>
    <t>Month</t>
  </si>
  <si>
    <t xml:space="preserve">Total Product Price </t>
  </si>
  <si>
    <t>Total 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</si>
</sst>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/>
    <xf numFmtId="0" fontId="10" fillId="0" borderId="0" xfId="0" applyFont="1"/>
    <xf numFmtId="2" fontId="10" fillId="0" borderId="0" xfId="0" applyNumberFormat="1" applyFont="1"/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6" workbookViewId="0">
      <selection activeCell="H26" sqref="H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9" t="s">
        <v>11</v>
      </c>
    </row>
    <row r="17" spans="2:3" ht="15.75" customHeight="1" x14ac:dyDescent="0.3">
      <c r="C17" s="9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29" workbookViewId="0">
      <selection activeCell="A40" sqref="A40"/>
    </sheetView>
  </sheetViews>
  <sheetFormatPr defaultColWidth="12.6640625" defaultRowHeight="15" customHeight="1" x14ac:dyDescent="0.25"/>
  <cols>
    <col min="1" max="1" width="28.6640625" bestFit="1" customWidth="1"/>
    <col min="2" max="2" width="14.109375" customWidth="1"/>
    <col min="3" max="6" width="12.6640625" customWidth="1"/>
  </cols>
  <sheetData>
    <row r="1" spans="1:6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6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</row>
    <row r="3" spans="1:6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</row>
    <row r="4" spans="1:6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</row>
    <row r="5" spans="1:6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</row>
    <row r="6" spans="1:6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</row>
    <row r="7" spans="1:6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</row>
    <row r="8" spans="1:6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</row>
    <row r="9" spans="1:6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</row>
    <row r="10" spans="1:6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</row>
    <row r="11" spans="1:6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</row>
    <row r="12" spans="1:6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</row>
    <row r="13" spans="1:6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</row>
    <row r="14" spans="1:6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</row>
    <row r="15" spans="1:6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</row>
    <row r="16" spans="1:6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</row>
    <row r="17" spans="1:6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</row>
    <row r="18" spans="1:6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</row>
    <row r="19" spans="1: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</row>
    <row r="20" spans="1: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</row>
    <row r="21" spans="1: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</row>
    <row r="22" spans="1: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</row>
    <row r="23" spans="1: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</row>
    <row r="24" spans="1: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</row>
    <row r="25" spans="1: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</row>
    <row r="26" spans="1: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</row>
    <row r="27" spans="1: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</row>
    <row r="28" spans="1: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</row>
    <row r="29" spans="1: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</row>
    <row r="30" spans="1: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</row>
    <row r="31" spans="1: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</row>
    <row r="32" spans="1: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</row>
    <row r="33" spans="1:6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</row>
    <row r="34" spans="1:6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</row>
    <row r="35" spans="1:6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</row>
    <row r="36" spans="1:6" ht="15.75" customHeight="1" x14ac:dyDescent="0.25"/>
    <row r="37" spans="1:6" ht="15.75" customHeight="1" x14ac:dyDescent="0.25"/>
    <row r="38" spans="1:6" ht="15.75" customHeight="1" x14ac:dyDescent="0.25">
      <c r="A38" s="13"/>
      <c r="B38" s="13"/>
    </row>
    <row r="39" spans="1:6" ht="15.75" customHeight="1" x14ac:dyDescent="0.25">
      <c r="A39" s="13"/>
      <c r="B39" s="13"/>
    </row>
    <row r="40" spans="1:6" ht="15.75" customHeight="1" x14ac:dyDescent="0.25">
      <c r="A40" s="13"/>
      <c r="B40" s="14"/>
    </row>
    <row r="41" spans="1:6" ht="15.75" customHeight="1" x14ac:dyDescent="0.25">
      <c r="A41" s="13"/>
      <c r="B41" s="13"/>
    </row>
    <row r="42" spans="1:6" ht="15.75" customHeight="1" x14ac:dyDescent="0.25">
      <c r="A42" s="13"/>
      <c r="B42" s="13"/>
    </row>
    <row r="43" spans="1:6" x14ac:dyDescent="0.25">
      <c r="A43" s="15"/>
      <c r="B43" s="13"/>
    </row>
    <row r="44" spans="1:6" x14ac:dyDescent="0.25">
      <c r="A44" s="15"/>
      <c r="B44" s="13"/>
    </row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CDCE-6473-48F7-9AA5-836BF929B618}">
  <dimension ref="A1:J45"/>
  <sheetViews>
    <sheetView tabSelected="1" topLeftCell="A3" zoomScale="107" zoomScaleNormal="107" workbookViewId="0">
      <selection activeCell="M17" sqref="M17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28.6640625" bestFit="1" customWidth="1"/>
    <col min="6" max="6" width="20.33203125" customWidth="1"/>
    <col min="7" max="7" width="11" bestFit="1" customWidth="1"/>
    <col min="9" max="9" width="13.33203125" bestFit="1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8" t="s">
        <v>113</v>
      </c>
      <c r="F1" s="5" t="s">
        <v>21</v>
      </c>
      <c r="G1" s="5" t="s">
        <v>22</v>
      </c>
      <c r="H1" s="8" t="s">
        <v>116</v>
      </c>
      <c r="I1" s="8" t="s">
        <v>117</v>
      </c>
      <c r="J1" s="8" t="s">
        <v>118</v>
      </c>
    </row>
    <row r="2" spans="1:10" x14ac:dyDescent="0.25">
      <c r="A2" s="6" t="s">
        <v>23</v>
      </c>
      <c r="B2" s="6" t="s">
        <v>24</v>
      </c>
      <c r="C2" s="6" t="s">
        <v>25</v>
      </c>
      <c r="D2" s="6">
        <v>1000</v>
      </c>
      <c r="E2" s="6" t="str">
        <f>IF(D2&gt;=500,"High Price","Standard Price")</f>
        <v>High Price</v>
      </c>
      <c r="F2" s="6">
        <v>30</v>
      </c>
      <c r="G2" s="6" t="s">
        <v>26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7" t="s">
        <v>27</v>
      </c>
      <c r="B3" s="7" t="s">
        <v>28</v>
      </c>
      <c r="C3" s="7" t="s">
        <v>29</v>
      </c>
      <c r="D3" s="7">
        <v>80</v>
      </c>
      <c r="E3" s="6" t="str">
        <f t="shared" ref="E3:E35" si="0">IF(D3&gt;=500,"High Price","Standard Price")</f>
        <v>Standard Price</v>
      </c>
      <c r="F3" s="7">
        <v>15</v>
      </c>
      <c r="G3" s="7" t="s">
        <v>30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5">
      <c r="A4" s="6" t="s">
        <v>31</v>
      </c>
      <c r="B4" s="6" t="s">
        <v>32</v>
      </c>
      <c r="C4" s="6" t="s">
        <v>33</v>
      </c>
      <c r="D4" s="6">
        <v>130</v>
      </c>
      <c r="E4" s="6" t="str">
        <f t="shared" si="0"/>
        <v>Standard Price</v>
      </c>
      <c r="F4" s="6">
        <v>40</v>
      </c>
      <c r="G4" s="6" t="s">
        <v>34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5">
      <c r="A5" s="7" t="s">
        <v>35</v>
      </c>
      <c r="B5" s="7" t="s">
        <v>36</v>
      </c>
      <c r="C5" s="7" t="s">
        <v>37</v>
      </c>
      <c r="D5" s="7">
        <v>900</v>
      </c>
      <c r="E5" s="6" t="str">
        <f t="shared" si="0"/>
        <v>High Price</v>
      </c>
      <c r="F5" s="7">
        <v>25</v>
      </c>
      <c r="G5" s="7" t="s">
        <v>26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5">
      <c r="A6" s="6" t="s">
        <v>38</v>
      </c>
      <c r="B6" s="6" t="s">
        <v>39</v>
      </c>
      <c r="C6" s="6" t="s">
        <v>40</v>
      </c>
      <c r="D6" s="6">
        <v>70</v>
      </c>
      <c r="E6" s="6" t="str">
        <f t="shared" si="0"/>
        <v>Standard Price</v>
      </c>
      <c r="F6" s="6">
        <v>20</v>
      </c>
      <c r="G6" s="6" t="s">
        <v>41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5">
      <c r="A7" s="7" t="s">
        <v>42</v>
      </c>
      <c r="B7" s="7" t="s">
        <v>43</v>
      </c>
      <c r="C7" s="7" t="s">
        <v>44</v>
      </c>
      <c r="D7" s="7">
        <v>200</v>
      </c>
      <c r="E7" s="6" t="str">
        <f t="shared" si="0"/>
        <v>Standard Price</v>
      </c>
      <c r="F7" s="7">
        <v>45</v>
      </c>
      <c r="G7" s="7" t="s">
        <v>26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5">
      <c r="A8" s="6" t="s">
        <v>45</v>
      </c>
      <c r="B8" s="6" t="s">
        <v>46</v>
      </c>
      <c r="C8" s="6" t="s">
        <v>47</v>
      </c>
      <c r="D8" s="6">
        <v>30</v>
      </c>
      <c r="E8" s="6" t="str">
        <f t="shared" si="0"/>
        <v>Standard Price</v>
      </c>
      <c r="F8" s="6">
        <v>5</v>
      </c>
      <c r="G8" s="6" t="s">
        <v>30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5">
      <c r="A9" s="7" t="s">
        <v>48</v>
      </c>
      <c r="B9" s="7" t="s">
        <v>49</v>
      </c>
      <c r="C9" s="7" t="s">
        <v>50</v>
      </c>
      <c r="D9" s="7">
        <v>90</v>
      </c>
      <c r="E9" s="6" t="str">
        <f t="shared" si="0"/>
        <v>Standard Price</v>
      </c>
      <c r="F9" s="7">
        <v>35</v>
      </c>
      <c r="G9" s="7" t="s">
        <v>34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5">
      <c r="A10" s="6" t="s">
        <v>51</v>
      </c>
      <c r="B10" s="6" t="s">
        <v>52</v>
      </c>
      <c r="C10" s="6" t="s">
        <v>53</v>
      </c>
      <c r="D10" s="6">
        <v>500</v>
      </c>
      <c r="E10" s="6" t="str">
        <f t="shared" si="0"/>
        <v>High Price</v>
      </c>
      <c r="F10" s="6">
        <v>50</v>
      </c>
      <c r="G10" s="6" t="s">
        <v>26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25">
      <c r="A11" s="7" t="s">
        <v>54</v>
      </c>
      <c r="B11" s="7" t="s">
        <v>55</v>
      </c>
      <c r="C11" s="7" t="s">
        <v>56</v>
      </c>
      <c r="D11" s="7">
        <v>130</v>
      </c>
      <c r="E11" s="6" t="str">
        <f t="shared" si="0"/>
        <v>Standard Price</v>
      </c>
      <c r="F11" s="7">
        <v>10</v>
      </c>
      <c r="G11" s="7" t="s">
        <v>41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5">
      <c r="A12" s="6" t="s">
        <v>57</v>
      </c>
      <c r="B12" s="6" t="s">
        <v>24</v>
      </c>
      <c r="C12" s="6" t="s">
        <v>58</v>
      </c>
      <c r="D12" s="6">
        <v>950</v>
      </c>
      <c r="E12" s="6" t="str">
        <f t="shared" si="0"/>
        <v>High Price</v>
      </c>
      <c r="F12" s="6">
        <v>25</v>
      </c>
      <c r="G12" s="6" t="s">
        <v>26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5">
      <c r="A13" s="7" t="s">
        <v>59</v>
      </c>
      <c r="B13" s="7" t="s">
        <v>28</v>
      </c>
      <c r="C13" s="7" t="s">
        <v>47</v>
      </c>
      <c r="D13" s="7">
        <v>90</v>
      </c>
      <c r="E13" s="6" t="str">
        <f t="shared" si="0"/>
        <v>Standard Price</v>
      </c>
      <c r="F13" s="7">
        <v>40</v>
      </c>
      <c r="G13" s="7" t="s">
        <v>30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5">
      <c r="A14" s="6" t="s">
        <v>60</v>
      </c>
      <c r="B14" s="6" t="s">
        <v>32</v>
      </c>
      <c r="C14" s="6" t="s">
        <v>61</v>
      </c>
      <c r="D14" s="6">
        <v>120</v>
      </c>
      <c r="E14" s="6" t="str">
        <f t="shared" si="0"/>
        <v>Standard Price</v>
      </c>
      <c r="F14" s="6">
        <v>35</v>
      </c>
      <c r="G14" s="6" t="s">
        <v>34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5">
      <c r="A15" s="7" t="s">
        <v>62</v>
      </c>
      <c r="B15" s="7" t="s">
        <v>63</v>
      </c>
      <c r="C15" s="7" t="s">
        <v>64</v>
      </c>
      <c r="D15" s="7">
        <v>150</v>
      </c>
      <c r="E15" s="6" t="str">
        <f t="shared" si="0"/>
        <v>Standard Price</v>
      </c>
      <c r="F15" s="7">
        <v>15</v>
      </c>
      <c r="G15" s="7" t="s">
        <v>26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5">
      <c r="A16" s="6" t="s">
        <v>65</v>
      </c>
      <c r="B16" s="6" t="s">
        <v>43</v>
      </c>
      <c r="C16" s="6" t="s">
        <v>66</v>
      </c>
      <c r="D16" s="6">
        <v>250</v>
      </c>
      <c r="E16" s="6" t="str">
        <f t="shared" si="0"/>
        <v>Standard Price</v>
      </c>
      <c r="F16" s="6">
        <v>20</v>
      </c>
      <c r="G16" s="6" t="s">
        <v>26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7" t="s">
        <v>67</v>
      </c>
      <c r="B17" s="7" t="s">
        <v>68</v>
      </c>
      <c r="C17" s="7" t="s">
        <v>69</v>
      </c>
      <c r="D17" s="7">
        <v>50</v>
      </c>
      <c r="E17" s="6" t="str">
        <f t="shared" si="0"/>
        <v>Standard Price</v>
      </c>
      <c r="F17" s="7">
        <v>35</v>
      </c>
      <c r="G17" s="7" t="s">
        <v>70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6" t="s">
        <v>71</v>
      </c>
      <c r="B18" s="6" t="s">
        <v>63</v>
      </c>
      <c r="C18" s="6" t="s">
        <v>72</v>
      </c>
      <c r="D18" s="6">
        <v>160</v>
      </c>
      <c r="E18" s="6" t="str">
        <f t="shared" si="0"/>
        <v>Standard Price</v>
      </c>
      <c r="F18" s="6">
        <v>15</v>
      </c>
      <c r="G18" s="6" t="s">
        <v>26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7" t="s">
        <v>73</v>
      </c>
      <c r="B19" s="7" t="s">
        <v>24</v>
      </c>
      <c r="C19" s="7" t="s">
        <v>74</v>
      </c>
      <c r="D19" s="7">
        <v>980</v>
      </c>
      <c r="E19" s="6" t="str">
        <f t="shared" si="0"/>
        <v>High Price</v>
      </c>
      <c r="F19" s="7">
        <v>10</v>
      </c>
      <c r="G19" s="7" t="s">
        <v>26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6" t="s">
        <v>75</v>
      </c>
      <c r="B20" s="6" t="s">
        <v>76</v>
      </c>
      <c r="C20" s="6" t="s">
        <v>77</v>
      </c>
      <c r="D20" s="6">
        <v>150</v>
      </c>
      <c r="E20" s="6" t="str">
        <f t="shared" si="0"/>
        <v>Standard Price</v>
      </c>
      <c r="F20" s="6">
        <v>15</v>
      </c>
      <c r="G20" s="6" t="s">
        <v>30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7" t="s">
        <v>78</v>
      </c>
      <c r="B21" s="7" t="s">
        <v>79</v>
      </c>
      <c r="C21" s="7" t="s">
        <v>80</v>
      </c>
      <c r="D21" s="7">
        <v>200</v>
      </c>
      <c r="E21" s="6" t="str">
        <f t="shared" si="0"/>
        <v>Standard Price</v>
      </c>
      <c r="F21" s="7">
        <v>10</v>
      </c>
      <c r="G21" s="7" t="s">
        <v>41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6" t="s">
        <v>81</v>
      </c>
      <c r="B22" s="6" t="s">
        <v>82</v>
      </c>
      <c r="C22" s="6" t="s">
        <v>83</v>
      </c>
      <c r="D22" s="6">
        <v>700</v>
      </c>
      <c r="E22" s="6" t="str">
        <f t="shared" si="0"/>
        <v>High Price</v>
      </c>
      <c r="F22" s="6">
        <v>50</v>
      </c>
      <c r="G22" s="6" t="s">
        <v>26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7" t="s">
        <v>84</v>
      </c>
      <c r="B23" s="7" t="s">
        <v>85</v>
      </c>
      <c r="C23" s="7" t="s">
        <v>86</v>
      </c>
      <c r="D23" s="7">
        <v>80</v>
      </c>
      <c r="E23" s="6" t="str">
        <f t="shared" si="0"/>
        <v>Standard Price</v>
      </c>
      <c r="F23" s="7">
        <v>20</v>
      </c>
      <c r="G23" s="7" t="s">
        <v>34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6" t="s">
        <v>87</v>
      </c>
      <c r="B24" s="6" t="s">
        <v>88</v>
      </c>
      <c r="C24" s="6" t="s">
        <v>89</v>
      </c>
      <c r="D24" s="6">
        <v>150</v>
      </c>
      <c r="E24" s="6" t="str">
        <f t="shared" si="0"/>
        <v>Standard Price</v>
      </c>
      <c r="F24" s="6">
        <v>30</v>
      </c>
      <c r="G24" s="6" t="s">
        <v>26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7" t="s">
        <v>67</v>
      </c>
      <c r="B25" s="7" t="s">
        <v>68</v>
      </c>
      <c r="C25" s="7" t="s">
        <v>69</v>
      </c>
      <c r="D25" s="7">
        <v>50</v>
      </c>
      <c r="E25" s="6" t="str">
        <f t="shared" si="0"/>
        <v>Standard Price</v>
      </c>
      <c r="F25" s="7">
        <v>35</v>
      </c>
      <c r="G25" s="7" t="s">
        <v>70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6" t="s">
        <v>90</v>
      </c>
      <c r="B26" s="6" t="s">
        <v>36</v>
      </c>
      <c r="C26" s="6" t="s">
        <v>91</v>
      </c>
      <c r="D26" s="6">
        <v>800</v>
      </c>
      <c r="E26" s="6" t="str">
        <f t="shared" si="0"/>
        <v>High Price</v>
      </c>
      <c r="F26" s="6">
        <v>45</v>
      </c>
      <c r="G26" s="6" t="s">
        <v>26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7" t="s">
        <v>92</v>
      </c>
      <c r="B27" s="7" t="s">
        <v>76</v>
      </c>
      <c r="C27" s="7" t="s">
        <v>93</v>
      </c>
      <c r="D27" s="7">
        <v>130</v>
      </c>
      <c r="E27" s="6" t="str">
        <f t="shared" si="0"/>
        <v>Standard Price</v>
      </c>
      <c r="F27" s="7">
        <v>25</v>
      </c>
      <c r="G27" s="7" t="s">
        <v>30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6" t="s">
        <v>94</v>
      </c>
      <c r="B28" s="6" t="s">
        <v>49</v>
      </c>
      <c r="C28" s="6" t="s">
        <v>95</v>
      </c>
      <c r="D28" s="6">
        <v>400</v>
      </c>
      <c r="E28" s="6" t="str">
        <f t="shared" si="0"/>
        <v>Standard Price</v>
      </c>
      <c r="F28" s="6">
        <v>40</v>
      </c>
      <c r="G28" s="6" t="s">
        <v>34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7" t="s">
        <v>65</v>
      </c>
      <c r="B29" s="7" t="s">
        <v>43</v>
      </c>
      <c r="C29" s="7" t="s">
        <v>66</v>
      </c>
      <c r="D29" s="7">
        <v>230</v>
      </c>
      <c r="E29" s="6" t="str">
        <f t="shared" si="0"/>
        <v>Standard Price</v>
      </c>
      <c r="F29" s="7">
        <v>20</v>
      </c>
      <c r="G29" s="7" t="s">
        <v>26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6" t="s">
        <v>96</v>
      </c>
      <c r="B30" s="6" t="s">
        <v>97</v>
      </c>
      <c r="C30" s="6" t="s">
        <v>98</v>
      </c>
      <c r="D30" s="6">
        <v>60</v>
      </c>
      <c r="E30" s="6" t="str">
        <f t="shared" si="0"/>
        <v>Standard Price</v>
      </c>
      <c r="F30" s="6">
        <v>30</v>
      </c>
      <c r="G30" s="6" t="s">
        <v>30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7" t="s">
        <v>99</v>
      </c>
      <c r="B31" s="7" t="s">
        <v>100</v>
      </c>
      <c r="C31" s="7" t="s">
        <v>101</v>
      </c>
      <c r="D31" s="7">
        <v>40</v>
      </c>
      <c r="E31" s="6" t="str">
        <f t="shared" si="0"/>
        <v>Standard Price</v>
      </c>
      <c r="F31" s="7">
        <v>10</v>
      </c>
      <c r="G31" s="7" t="s">
        <v>34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 t="str">
        <f t="shared" si="0"/>
        <v>Standard Price</v>
      </c>
      <c r="F32" s="6">
        <v>5</v>
      </c>
      <c r="G32" s="6" t="s">
        <v>26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7" t="s">
        <v>104</v>
      </c>
      <c r="B33" s="7" t="s">
        <v>105</v>
      </c>
      <c r="C33" s="7" t="s">
        <v>106</v>
      </c>
      <c r="D33" s="7">
        <v>50</v>
      </c>
      <c r="E33" s="6" t="str">
        <f t="shared" si="0"/>
        <v>Standard Price</v>
      </c>
      <c r="F33" s="7">
        <v>50</v>
      </c>
      <c r="G33" s="7" t="s">
        <v>30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6" t="s">
        <v>57</v>
      </c>
      <c r="B34" s="6" t="s">
        <v>24</v>
      </c>
      <c r="C34" s="6" t="s">
        <v>58</v>
      </c>
      <c r="D34" s="6">
        <v>950</v>
      </c>
      <c r="E34" s="6" t="str">
        <f t="shared" si="0"/>
        <v>High Price</v>
      </c>
      <c r="F34" s="6">
        <v>25</v>
      </c>
      <c r="G34" s="6" t="s">
        <v>26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6" t="str">
        <f t="shared" si="0"/>
        <v>Standard Price</v>
      </c>
      <c r="F35" s="7">
        <v>20</v>
      </c>
      <c r="G35" s="7" t="s">
        <v>70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9" spans="1:10" ht="15.6" x14ac:dyDescent="0.3">
      <c r="E39" s="10" t="s">
        <v>119</v>
      </c>
      <c r="F39" s="12">
        <f>SUM(D2:D35)</f>
        <v>10100</v>
      </c>
    </row>
    <row r="40" spans="1:10" ht="15.6" x14ac:dyDescent="0.3">
      <c r="E40" s="10" t="s">
        <v>120</v>
      </c>
      <c r="F40" s="12">
        <f>COUNT(F2:F35)</f>
        <v>34</v>
      </c>
    </row>
    <row r="41" spans="1:10" ht="15.6" x14ac:dyDescent="0.3">
      <c r="E41" s="10" t="s">
        <v>110</v>
      </c>
      <c r="F41" s="12">
        <f>ROUND(AVERAGE(D2:D35),2)</f>
        <v>297.06</v>
      </c>
    </row>
    <row r="42" spans="1:10" ht="15.6" x14ac:dyDescent="0.3">
      <c r="E42" s="10" t="s">
        <v>111</v>
      </c>
      <c r="F42" s="12">
        <f>MIN(D2:D35)</f>
        <v>30</v>
      </c>
    </row>
    <row r="43" spans="1:10" ht="15.6" x14ac:dyDescent="0.3">
      <c r="E43" s="10" t="s">
        <v>112</v>
      </c>
      <c r="F43" s="12">
        <f>MAX(D2:D35)</f>
        <v>1000</v>
      </c>
    </row>
    <row r="44" spans="1:10" ht="62.4" x14ac:dyDescent="0.25">
      <c r="E44" s="11" t="s">
        <v>114</v>
      </c>
      <c r="F44" s="12">
        <f>COUNTIF(D2:D35,"&lt;100")</f>
        <v>11</v>
      </c>
    </row>
    <row r="45" spans="1:10" ht="62.4" x14ac:dyDescent="0.25">
      <c r="E45" s="11" t="s">
        <v>115</v>
      </c>
      <c r="F45" s="12">
        <f>SUMIF(G2:G35,G2,D2:D35)</f>
        <v>8050</v>
      </c>
    </row>
  </sheetData>
  <pageMargins left="0.7" right="0.7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Dataset</vt:lpstr>
      <vt:lpstr>Solutions</vt:lpstr>
      <vt:lpstr>Solutions!Print_Area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KUMAR</cp:lastModifiedBy>
  <dcterms:modified xsi:type="dcterms:W3CDTF">2026-09-28T15:13:39Z</dcterms:modified>
</cp:coreProperties>
</file>